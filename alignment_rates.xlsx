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longo/Desktop/ATACseq/"/>
    </mc:Choice>
  </mc:AlternateContent>
  <xr:revisionPtr revIDLastSave="0" documentId="13_ncr:1_{7703A56A-B4DF-3C4A-AC52-18E8467E8FF4}" xr6:coauthVersionLast="47" xr6:coauthVersionMax="47" xr10:uidLastSave="{00000000-0000-0000-0000-000000000000}"/>
  <bookViews>
    <workbookView xWindow="17220" yWindow="1640" windowWidth="17120" windowHeight="17440" xr2:uid="{4EA91512-7084-3B4B-A437-4D59F6552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E25" i="1"/>
  <c r="F24" i="1"/>
  <c r="E24" i="1"/>
  <c r="F23" i="1"/>
  <c r="E23" i="1"/>
  <c r="F22" i="1"/>
  <c r="E22" i="1"/>
  <c r="E21" i="1"/>
  <c r="E32" i="1"/>
  <c r="F32" i="1"/>
  <c r="E33" i="1"/>
  <c r="F33" i="1"/>
  <c r="E34" i="1"/>
  <c r="F34" i="1"/>
  <c r="F31" i="1"/>
  <c r="E31" i="1"/>
  <c r="H4" i="1"/>
  <c r="H5" i="1"/>
  <c r="H6" i="1"/>
  <c r="H7" i="1"/>
  <c r="H3" i="1"/>
  <c r="P3" i="1"/>
  <c r="O3" i="1"/>
  <c r="O5" i="1"/>
  <c r="P5" i="1"/>
  <c r="O6" i="1"/>
  <c r="P6" i="1"/>
  <c r="O7" i="1"/>
  <c r="P7" i="1"/>
  <c r="P4" i="1"/>
  <c r="O4" i="1"/>
</calcChain>
</file>

<file path=xl/sharedStrings.xml><?xml version="1.0" encoding="utf-8"?>
<sst xmlns="http://schemas.openxmlformats.org/spreadsheetml/2006/main" count="57" uniqueCount="29">
  <si>
    <t>mm10_test</t>
  </si>
  <si>
    <t>201fDMSOw1</t>
  </si>
  <si>
    <t>204fTBTw1</t>
  </si>
  <si>
    <t>213mDMSOw1</t>
  </si>
  <si>
    <t>218mTBTw1</t>
  </si>
  <si>
    <t>STAR</t>
  </si>
  <si>
    <t>Mapped Reads</t>
  </si>
  <si>
    <t>Mapped Reads %</t>
  </si>
  <si>
    <t>Uniquely Mapped 
Reads %</t>
  </si>
  <si>
    <t>Uniquely Mapped 
Reads</t>
  </si>
  <si>
    <t>Mutimapped 
Reads</t>
  </si>
  <si>
    <t>Mutimapped 
Reads %</t>
  </si>
  <si>
    <t>Input Reads</t>
  </si>
  <si>
    <t>Unmapped 
Reads %</t>
  </si>
  <si>
    <t>Unmapped Too 
Many Mismatches</t>
  </si>
  <si>
    <t>Unmapped Too 
Many Mismatches %</t>
  </si>
  <si>
    <t>Unmapped Too 
Short</t>
  </si>
  <si>
    <t>Unmapped Too 
Short %</t>
  </si>
  <si>
    <t>Unmapped
Other</t>
  </si>
  <si>
    <t>Unmapped
Other %</t>
  </si>
  <si>
    <t>Unmapped Total</t>
  </si>
  <si>
    <t>Unmapped Total %</t>
  </si>
  <si>
    <t>Average Mapped
Length</t>
  </si>
  <si>
    <t>Bowtie2</t>
  </si>
  <si>
    <t>Unmapped Reads</t>
  </si>
  <si>
    <t>Overall Alignment
Rate %</t>
  </si>
  <si>
    <t>BWA</t>
  </si>
  <si>
    <t>BWA-MEM</t>
  </si>
  <si>
    <t>Unmapped
Reads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</si>
</sst>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A583-4B52-BD4A-95C0-66432BF5F6BE}">
  <dimension ref="A1:P34"/>
  <sheetViews>
    <sheetView tabSelected="1" topLeftCell="A3" workbookViewId="0">
      <selection activeCell="H32" sqref="H32"/>
    </sheetView>
  </sheetViews>
  <sheetFormatPr baseColWidth="10" defaultRowHeight="16" x14ac:dyDescent="0.2"/>
  <cols>
    <col min="1" max="1" width="13.1640625" style="1" bestFit="1" customWidth="1"/>
    <col min="3" max="3" width="14.6640625" bestFit="1" customWidth="1"/>
    <col min="4" max="4" width="15" bestFit="1" customWidth="1"/>
    <col min="5" max="5" width="14.83203125" bestFit="1" customWidth="1"/>
    <col min="6" max="6" width="11.5" customWidth="1"/>
    <col min="7" max="7" width="11.33203125" bestFit="1" customWidth="1"/>
    <col min="8" max="8" width="15.6640625" bestFit="1" customWidth="1"/>
    <col min="9" max="9" width="17.6640625" bestFit="1" customWidth="1"/>
    <col min="10" max="11" width="13" bestFit="1" customWidth="1"/>
  </cols>
  <sheetData>
    <row r="1" spans="1:16" x14ac:dyDescent="0.2">
      <c r="A1" s="1" t="s">
        <v>5</v>
      </c>
    </row>
    <row r="2" spans="1:16" s="1" customFormat="1" ht="34" customHeight="1" x14ac:dyDescent="0.2">
      <c r="B2" s="1" t="s">
        <v>12</v>
      </c>
      <c r="C2" s="2" t="s">
        <v>22</v>
      </c>
      <c r="D2" s="2" t="s">
        <v>9</v>
      </c>
      <c r="E2" s="2" t="s">
        <v>8</v>
      </c>
      <c r="F2" s="2" t="s">
        <v>10</v>
      </c>
      <c r="G2" s="2" t="s">
        <v>11</v>
      </c>
      <c r="H2" s="2" t="s">
        <v>25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</row>
    <row r="3" spans="1:16" x14ac:dyDescent="0.2">
      <c r="A3" s="1" t="s">
        <v>0</v>
      </c>
      <c r="B3">
        <v>100002</v>
      </c>
      <c r="C3">
        <v>149.97</v>
      </c>
      <c r="D3">
        <v>92282</v>
      </c>
      <c r="E3">
        <v>92.28</v>
      </c>
      <c r="F3">
        <v>3896</v>
      </c>
      <c r="G3">
        <v>3.9</v>
      </c>
      <c r="H3">
        <f>E3+G3</f>
        <v>96.18</v>
      </c>
      <c r="I3">
        <v>0</v>
      </c>
      <c r="J3">
        <v>0</v>
      </c>
      <c r="K3">
        <v>83</v>
      </c>
      <c r="L3">
        <v>0.08</v>
      </c>
      <c r="M3">
        <v>2365</v>
      </c>
      <c r="N3">
        <v>2.36</v>
      </c>
      <c r="O3">
        <f t="shared" ref="O3" si="0">I3+K3+M3</f>
        <v>2448</v>
      </c>
      <c r="P3">
        <f t="shared" ref="P3" si="1">J3+L3+N3</f>
        <v>2.44</v>
      </c>
    </row>
    <row r="4" spans="1:16" x14ac:dyDescent="0.2">
      <c r="A4" s="1" t="s">
        <v>1</v>
      </c>
      <c r="B4">
        <v>23955457</v>
      </c>
      <c r="C4">
        <v>67.760000000000005</v>
      </c>
      <c r="D4">
        <v>7726353</v>
      </c>
      <c r="E4">
        <v>32.25</v>
      </c>
      <c r="F4">
        <v>3033589</v>
      </c>
      <c r="G4">
        <v>12.66</v>
      </c>
      <c r="H4">
        <f t="shared" ref="H4:H7" si="2">E4+G4</f>
        <v>44.91</v>
      </c>
      <c r="I4">
        <v>126560</v>
      </c>
      <c r="J4">
        <v>0.53</v>
      </c>
      <c r="K4">
        <v>9150073</v>
      </c>
      <c r="L4">
        <v>38.200000000000003</v>
      </c>
      <c r="M4">
        <v>3885716</v>
      </c>
      <c r="N4">
        <v>16.22</v>
      </c>
      <c r="O4">
        <f>I4+K4+M4</f>
        <v>13162349</v>
      </c>
      <c r="P4">
        <f>J4+L4+N4</f>
        <v>54.95</v>
      </c>
    </row>
    <row r="5" spans="1:16" x14ac:dyDescent="0.2">
      <c r="A5" s="1" t="s">
        <v>2</v>
      </c>
      <c r="B5">
        <v>17741474</v>
      </c>
      <c r="C5">
        <v>68.27</v>
      </c>
      <c r="D5">
        <v>9343723</v>
      </c>
      <c r="E5">
        <v>52.67</v>
      </c>
      <c r="F5">
        <v>3194207</v>
      </c>
      <c r="G5">
        <v>18</v>
      </c>
      <c r="H5">
        <f t="shared" si="2"/>
        <v>70.67</v>
      </c>
      <c r="I5">
        <v>97563</v>
      </c>
      <c r="J5">
        <v>0.55000000000000004</v>
      </c>
      <c r="K5">
        <v>3290025</v>
      </c>
      <c r="L5">
        <v>18.54</v>
      </c>
      <c r="M5">
        <v>1769600</v>
      </c>
      <c r="N5">
        <v>9.9700000000000006</v>
      </c>
      <c r="O5">
        <f t="shared" ref="O5:O7" si="3">I5+K5+M5</f>
        <v>5157188</v>
      </c>
      <c r="P5">
        <f t="shared" ref="P5:P7" si="4">J5+L5+N5</f>
        <v>29.060000000000002</v>
      </c>
    </row>
    <row r="6" spans="1:16" x14ac:dyDescent="0.2">
      <c r="A6" s="1" t="s">
        <v>3</v>
      </c>
      <c r="B6">
        <v>63437408</v>
      </c>
      <c r="C6">
        <v>67.95</v>
      </c>
      <c r="D6">
        <v>15129377</v>
      </c>
      <c r="E6">
        <v>23.85</v>
      </c>
      <c r="F6">
        <v>5663958</v>
      </c>
      <c r="G6">
        <v>8.93</v>
      </c>
      <c r="H6">
        <f t="shared" si="2"/>
        <v>32.78</v>
      </c>
      <c r="I6">
        <v>337872</v>
      </c>
      <c r="J6">
        <v>0.53</v>
      </c>
      <c r="K6">
        <v>30826541</v>
      </c>
      <c r="L6">
        <v>48.59</v>
      </c>
      <c r="M6">
        <v>11411101</v>
      </c>
      <c r="N6">
        <v>17.989999999999998</v>
      </c>
      <c r="O6">
        <f t="shared" si="3"/>
        <v>42575514</v>
      </c>
      <c r="P6">
        <f t="shared" si="4"/>
        <v>67.11</v>
      </c>
    </row>
    <row r="7" spans="1:16" x14ac:dyDescent="0.2">
      <c r="A7" s="1" t="s">
        <v>4</v>
      </c>
      <c r="B7">
        <v>68245355</v>
      </c>
      <c r="C7">
        <v>65.19</v>
      </c>
      <c r="D7">
        <v>32606754</v>
      </c>
      <c r="E7">
        <v>47.78</v>
      </c>
      <c r="F7">
        <v>11194779</v>
      </c>
      <c r="G7">
        <v>16.399999999999999</v>
      </c>
      <c r="H7">
        <f t="shared" si="2"/>
        <v>64.180000000000007</v>
      </c>
      <c r="I7">
        <v>295803</v>
      </c>
      <c r="J7">
        <v>0.43</v>
      </c>
      <c r="K7">
        <v>17093449</v>
      </c>
      <c r="L7">
        <v>25.05</v>
      </c>
      <c r="M7">
        <v>6907286</v>
      </c>
      <c r="N7">
        <v>10.119999999999999</v>
      </c>
      <c r="O7">
        <f t="shared" si="3"/>
        <v>24296538</v>
      </c>
      <c r="P7">
        <f t="shared" si="4"/>
        <v>35.6</v>
      </c>
    </row>
    <row r="10" spans="1:16" x14ac:dyDescent="0.2">
      <c r="A10" s="1" t="s">
        <v>23</v>
      </c>
    </row>
    <row r="11" spans="1:16" ht="34" customHeight="1" x14ac:dyDescent="0.2">
      <c r="B11" s="1" t="s">
        <v>12</v>
      </c>
      <c r="C11" s="2" t="s">
        <v>9</v>
      </c>
      <c r="D11" s="2" t="s">
        <v>8</v>
      </c>
      <c r="E11" s="2" t="s">
        <v>10</v>
      </c>
      <c r="F11" s="2" t="s">
        <v>11</v>
      </c>
      <c r="G11" s="2" t="s">
        <v>24</v>
      </c>
      <c r="H11" s="2" t="s">
        <v>13</v>
      </c>
      <c r="I11" s="2" t="s">
        <v>25</v>
      </c>
    </row>
    <row r="12" spans="1:16" x14ac:dyDescent="0.2">
      <c r="A12" s="1" t="s">
        <v>0</v>
      </c>
      <c r="B12">
        <v>100002</v>
      </c>
      <c r="C12">
        <v>80859</v>
      </c>
      <c r="D12">
        <v>80.86</v>
      </c>
      <c r="E12">
        <v>19143</v>
      </c>
      <c r="F12">
        <v>19.14</v>
      </c>
      <c r="G12">
        <v>0</v>
      </c>
      <c r="H12">
        <v>0</v>
      </c>
      <c r="I12">
        <v>100</v>
      </c>
    </row>
    <row r="13" spans="1:16" x14ac:dyDescent="0.2">
      <c r="A13" s="1" t="s">
        <v>1</v>
      </c>
      <c r="B13">
        <v>23955457</v>
      </c>
      <c r="C13">
        <v>4886385</v>
      </c>
      <c r="D13">
        <v>20.399999999999999</v>
      </c>
      <c r="E13">
        <v>6129790</v>
      </c>
      <c r="F13">
        <v>25.59</v>
      </c>
      <c r="G13">
        <v>12939282</v>
      </c>
      <c r="H13">
        <v>54.01</v>
      </c>
      <c r="I13">
        <v>45.99</v>
      </c>
    </row>
    <row r="14" spans="1:16" x14ac:dyDescent="0.2">
      <c r="A14" s="1" t="s">
        <v>2</v>
      </c>
      <c r="B14">
        <v>17741474</v>
      </c>
      <c r="C14">
        <v>6199255</v>
      </c>
      <c r="D14">
        <v>34.94</v>
      </c>
      <c r="E14">
        <v>6683856</v>
      </c>
      <c r="F14">
        <v>37.67</v>
      </c>
      <c r="G14">
        <v>4858363</v>
      </c>
      <c r="H14">
        <v>27.38</v>
      </c>
      <c r="I14">
        <v>72.62</v>
      </c>
    </row>
    <row r="15" spans="1:16" x14ac:dyDescent="0.2">
      <c r="A15" s="1" t="s">
        <v>3</v>
      </c>
      <c r="B15">
        <v>63437408</v>
      </c>
      <c r="C15">
        <v>9760924</v>
      </c>
      <c r="D15">
        <v>15.39</v>
      </c>
      <c r="E15">
        <v>11567488</v>
      </c>
      <c r="F15">
        <v>18.23</v>
      </c>
      <c r="G15">
        <v>42108996</v>
      </c>
      <c r="H15">
        <v>66.38</v>
      </c>
      <c r="I15">
        <v>33.619999999999997</v>
      </c>
    </row>
    <row r="16" spans="1:16" x14ac:dyDescent="0.2">
      <c r="A16" s="1" t="s">
        <v>4</v>
      </c>
      <c r="B16">
        <v>68245355</v>
      </c>
      <c r="C16">
        <v>22029278</v>
      </c>
      <c r="D16">
        <v>32.28</v>
      </c>
      <c r="E16">
        <v>22838167</v>
      </c>
      <c r="F16">
        <v>33.46</v>
      </c>
      <c r="G16">
        <v>23377910</v>
      </c>
      <c r="H16">
        <v>34.26</v>
      </c>
      <c r="I16">
        <v>65.739999999999995</v>
      </c>
    </row>
    <row r="19" spans="1:6" x14ac:dyDescent="0.2">
      <c r="A19" s="1" t="s">
        <v>26</v>
      </c>
    </row>
    <row r="20" spans="1:6" s="1" customFormat="1" ht="34" x14ac:dyDescent="0.2">
      <c r="B20" s="1" t="s">
        <v>12</v>
      </c>
      <c r="C20" s="1" t="s">
        <v>6</v>
      </c>
      <c r="D20" s="1" t="s">
        <v>7</v>
      </c>
      <c r="E20" s="1" t="s">
        <v>24</v>
      </c>
      <c r="F20" s="2" t="s">
        <v>28</v>
      </c>
    </row>
    <row r="21" spans="1:6" x14ac:dyDescent="0.2">
      <c r="A21" s="1" t="s">
        <v>0</v>
      </c>
      <c r="B21">
        <v>100002</v>
      </c>
      <c r="C21">
        <v>99998</v>
      </c>
      <c r="D21">
        <v>100</v>
      </c>
      <c r="E21">
        <f>B21-C21</f>
        <v>4</v>
      </c>
      <c r="F21">
        <v>0</v>
      </c>
    </row>
    <row r="22" spans="1:6" x14ac:dyDescent="0.2">
      <c r="A22" s="1" t="s">
        <v>1</v>
      </c>
      <c r="B22">
        <v>23955457</v>
      </c>
      <c r="C22">
        <v>10834376</v>
      </c>
      <c r="D22">
        <v>45.23</v>
      </c>
      <c r="E22">
        <f>B22-C22</f>
        <v>13121081</v>
      </c>
      <c r="F22">
        <f>100-D22</f>
        <v>54.77</v>
      </c>
    </row>
    <row r="23" spans="1:6" x14ac:dyDescent="0.2">
      <c r="A23" s="1" t="s">
        <v>2</v>
      </c>
      <c r="B23">
        <v>17741474</v>
      </c>
      <c r="C23">
        <v>12688049</v>
      </c>
      <c r="D23">
        <v>71.52</v>
      </c>
      <c r="E23">
        <f t="shared" ref="E23:E25" si="5">B23-C23</f>
        <v>5053425</v>
      </c>
      <c r="F23">
        <f t="shared" ref="F23:F25" si="6">100-D23</f>
        <v>28.480000000000004</v>
      </c>
    </row>
    <row r="24" spans="1:6" x14ac:dyDescent="0.2">
      <c r="A24" s="1" t="s">
        <v>3</v>
      </c>
      <c r="B24">
        <v>63437408</v>
      </c>
      <c r="C24">
        <v>21006615</v>
      </c>
      <c r="D24">
        <v>33.11</v>
      </c>
      <c r="E24">
        <f t="shared" si="5"/>
        <v>42430793</v>
      </c>
      <c r="F24">
        <f t="shared" si="6"/>
        <v>66.89</v>
      </c>
    </row>
    <row r="25" spans="1:6" x14ac:dyDescent="0.2">
      <c r="A25" s="1" t="s">
        <v>4</v>
      </c>
      <c r="B25">
        <v>68245355</v>
      </c>
      <c r="C25">
        <v>44398427</v>
      </c>
      <c r="D25">
        <v>65.06</v>
      </c>
      <c r="E25">
        <f t="shared" si="5"/>
        <v>23846928</v>
      </c>
      <c r="F25">
        <f t="shared" si="6"/>
        <v>34.94</v>
      </c>
    </row>
    <row r="28" spans="1:6" x14ac:dyDescent="0.2">
      <c r="A28" s="1" t="s">
        <v>27</v>
      </c>
    </row>
    <row r="29" spans="1:6" s="1" customFormat="1" ht="34" x14ac:dyDescent="0.2">
      <c r="B29" s="1" t="s">
        <v>12</v>
      </c>
      <c r="C29" s="1" t="s">
        <v>6</v>
      </c>
      <c r="D29" s="1" t="s">
        <v>7</v>
      </c>
      <c r="E29" s="1" t="s">
        <v>24</v>
      </c>
      <c r="F29" s="2" t="s">
        <v>28</v>
      </c>
    </row>
    <row r="30" spans="1:6" x14ac:dyDescent="0.2">
      <c r="A30" s="3" t="s">
        <v>0</v>
      </c>
      <c r="B30">
        <v>100002</v>
      </c>
      <c r="C30">
        <v>100002</v>
      </c>
      <c r="D30">
        <v>100</v>
      </c>
      <c r="E30">
        <v>0</v>
      </c>
      <c r="F30">
        <v>0</v>
      </c>
    </row>
    <row r="31" spans="1:6" x14ac:dyDescent="0.2">
      <c r="A31" s="3" t="s">
        <v>1</v>
      </c>
      <c r="B31">
        <v>23960430</v>
      </c>
      <c r="C31">
        <v>11106812</v>
      </c>
      <c r="D31">
        <v>46.35</v>
      </c>
      <c r="E31">
        <f>B31-C31</f>
        <v>12853618</v>
      </c>
      <c r="F31">
        <f>100-D31</f>
        <v>53.65</v>
      </c>
    </row>
    <row r="32" spans="1:6" x14ac:dyDescent="0.2">
      <c r="A32" s="3" t="s">
        <v>2</v>
      </c>
      <c r="B32">
        <v>17747067</v>
      </c>
      <c r="C32">
        <v>12961201</v>
      </c>
      <c r="D32">
        <v>73.03</v>
      </c>
      <c r="E32">
        <f t="shared" ref="E32:E34" si="7">B32-C32</f>
        <v>4785866</v>
      </c>
      <c r="F32">
        <f t="shared" ref="F32:F34" si="8">100-D32</f>
        <v>26.97</v>
      </c>
    </row>
    <row r="33" spans="1:6" x14ac:dyDescent="0.2">
      <c r="A33" s="3" t="s">
        <v>3</v>
      </c>
      <c r="B33">
        <v>63448478</v>
      </c>
      <c r="C33">
        <v>21519052</v>
      </c>
      <c r="D33">
        <v>33.92</v>
      </c>
      <c r="E33">
        <f t="shared" si="7"/>
        <v>41929426</v>
      </c>
      <c r="F33">
        <f t="shared" si="8"/>
        <v>66.08</v>
      </c>
    </row>
    <row r="34" spans="1:6" x14ac:dyDescent="0.2">
      <c r="A34" s="3" t="s">
        <v>4</v>
      </c>
      <c r="B34">
        <v>68262389</v>
      </c>
      <c r="C34">
        <v>45107235</v>
      </c>
      <c r="D34">
        <v>66.08</v>
      </c>
      <c r="E34">
        <f t="shared" si="7"/>
        <v>23155154</v>
      </c>
      <c r="F34">
        <f t="shared" si="8"/>
        <v>33.92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Longo</dc:creator>
  <cp:lastModifiedBy>Geraldine Longo</cp:lastModifiedBy>
  <dcterms:created xsi:type="dcterms:W3CDTF">2026-08-28T16:46:12Z</dcterms:created>
  <dcterms:modified xsi:type="dcterms:W3CDTF">2026-08-28T19:00:59Z</dcterms:modified>
</cp:coreProperties>
</file>